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diy\diy esk8 - public repo\"/>
    </mc:Choice>
  </mc:AlternateContent>
  <xr:revisionPtr revIDLastSave="0" documentId="13_ncr:1_{F590AF60-6943-4E8F-8B2E-DD90AF0F8155}" xr6:coauthVersionLast="47" xr6:coauthVersionMax="47" xr10:uidLastSave="{00000000-0000-0000-0000-000000000000}"/>
  <bookViews>
    <workbookView xWindow="-120" yWindow="480" windowWidth="38640" windowHeight="21240" xr2:uid="{C003B9CF-A73B-4ED7-823D-284A7F431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B16" i="1"/>
  <c r="I28" i="1" s="1"/>
  <c r="H28" i="1"/>
  <c r="C8" i="1"/>
  <c r="C9" i="1"/>
  <c r="C10" i="1"/>
  <c r="C11" i="1"/>
  <c r="C12" i="1"/>
  <c r="C13" i="1"/>
  <c r="C7" i="1"/>
  <c r="C5" i="1"/>
  <c r="C4" i="1"/>
  <c r="C2" i="1"/>
  <c r="B15" i="1"/>
  <c r="B14" i="1"/>
  <c r="B6" i="1"/>
  <c r="B3" i="1"/>
  <c r="C3" i="1" s="1"/>
</calcChain>
</file>

<file path=xl/sharedStrings.xml><?xml version="1.0" encoding="utf-8"?>
<sst xmlns="http://schemas.openxmlformats.org/spreadsheetml/2006/main" count="39" uniqueCount="39">
  <si>
    <t>Price in PLN</t>
  </si>
  <si>
    <t>Price in USD</t>
  </si>
  <si>
    <t>PLN to USC ratio</t>
  </si>
  <si>
    <t>Link</t>
  </si>
  <si>
    <t>https://allegro.pl/oferta/professional-lab-premium-filament-do-drukarki-3d-tpu-1kg-1-75-black-czarny-18057264320?bi_s=ads&amp;bi_m=productlisting:desktop:query&amp;bi_c=YjMyMTQzZmYtMDI1Mi00M2Y3LTgzMjgtODEzODI4ZWVhNjdlAA&amp;bi_t=ape&amp;referrer=proxy&amp;emission_unit_id=7dd76ab4-5728-4c31-b9a8-bfda4dc492cc</t>
  </si>
  <si>
    <t>Cheap filament suitable for this job</t>
  </si>
  <si>
    <t>https://pl.aliexpress.com/item/1005004428101540.html?spm=a2g0o.productlist.main.4.36d4rzg3rzg3t5&amp;aem_p4p_detail=20260203092522382668761668500000482596&amp;algo_pvid=e5c07f00-e0b1-489c-aa11-b5b322e7e362&amp;algo_exp_id=e5c07f00-e0b1-489c-aa11-b5b322e7e362-3&amp;pdp_ext_f=%7B%22order%22%3A%2212%22%2C%22eval%22%3A%221%22%2C%22fromPage%22%3A%22search%22%7D&amp;pdp_npi=6%40dis%21PLN%2136.29%2123.59%21%21%219.90%216.44%21%40211b81a317701395227128743e6fa7%2112000029167101120%21sea%21PL%212996920151%21X%211%210%21n_tag%3A-29919%3Bd%3Ac67cd4cb%3Bm03_new_user%3A-29895&amp;curPageLogUid=auQHTitXkEU2&amp;utparam-url=scene%3Asearch%7Cquery_from%3A%7Cx_object_id%3A1005004428101540%7C_p_origin_prod%3A&amp;search_p4p_id=20260203092522382668761668500000482596_1</t>
  </si>
  <si>
    <t>Copper strip for spot welding</t>
  </si>
  <si>
    <t>Spot welder - my brother will lend me for a week</t>
  </si>
  <si>
    <t>-</t>
  </si>
  <si>
    <t>Longboard</t>
  </si>
  <si>
    <t>Already bought</t>
  </si>
  <si>
    <t>https://www.alibaba.com/product-detail/Double-Kingpin-Rear-Front-Trucks-15_1601595510200.html?spm=a2700.prosearch.normal_offer.d_image.6aff67afWrLuJL&amp;priceId=fe06ee03be34402ca111a61822ca5bf5</t>
  </si>
  <si>
    <t>cheap bms 14s 100a</t>
  </si>
  <si>
    <t>https://pl.aliexpress.com/item/1005008389823367.html?spm=a2g0o.order_list.order_list_main.83.608d1c244UJsFA&amp;gatewayAdapt=glo2pol</t>
  </si>
  <si>
    <t>Insulation for batteries</t>
  </si>
  <si>
    <t>https://pl.aliexpress.com/item/1005007446907710.html?spm=a2g0o.order_list.order_list_main.318.608d1c244UJsFA&amp;gatewayAdapt=glo2pol</t>
  </si>
  <si>
    <t>cheapest pulley on aliexpress</t>
  </si>
  <si>
    <t>https://pl.aliexpress.com/item/1005005549141226.html?spm=a2g0o.order_list.order_list_main.129.608d1c244UJsFA&amp;gatewayAdapt=glo2pol</t>
  </si>
  <si>
    <t>high voltage dc fuse</t>
  </si>
  <si>
    <t>https://pl.aliexpress.com/item/1005005630468743.html?spm=a2g0o.order_list.order_list_main.174.608d1c244UJsFA&amp;gatewayAdapt=glo2pol</t>
  </si>
  <si>
    <t>https://pl.aliexpress.com/item/1005008357057646.html?spm=a2g0o.order_list.order_list_main.220.608d1c244UJsFA&amp;gatewayAdapt=glo2pol</t>
  </si>
  <si>
    <t>mks express for bt connectivity and logging</t>
  </si>
  <si>
    <t>https://pl.aliexpress.com/item/1005006990161387.html?spm=a2g0o.order_list.order_list_main.226.608d1c244UJsFA&amp;gatewayAdapt=glo2pol</t>
  </si>
  <si>
    <t>Charger 12s</t>
  </si>
  <si>
    <t>https://pl.aliexpress.com/item/1005007479585632.html?spm=a2g0o.productlist.main.2.17185c7bIm6mb5&amp;algo_pvid=235255a5-ec00-4221-b131-1a9cee054a77&amp;algo_exp_id=235255a5-ec00-4221-b131-1a9cee054a77-1&amp;pdp_ext_f=%7B%22order%22%3A%223%22%2C%22eval%22%3A%221%22%2C%22fromPage%22%3A%22search%22%7D&amp;pdp_npi=6%40dis%21PLN%21725.58%21362.79%21%21%211372.90%21686.45%21%40210385db17701401572916600edb56%2112000040949082584%21sea%21PL%212996920151%21X%211%210%21n_tag%3A-29919%3Bd%3Ac67cd4cb%3Bm03_new_user%3A-29895&amp;curPageLogUid=nEhmeGmi1zrl&amp;utparam-url=scene%3Asearch%7Cquery_from%3A%7Cx_object_id%3A1005007479585632%7C_p_origin_prod%3A</t>
  </si>
  <si>
    <t>4psc 105mm wheel - cheapest that will not kill me [hopefully] on Poland crosswalks and roads</t>
  </si>
  <si>
    <t>Trucks for electric longboards - cheapest was on alibaba</t>
  </si>
  <si>
    <t>https://flipsky.net/collections/electronic-products/products/mini-v6-mk5-with-power-button</t>
  </si>
  <si>
    <t>VESC electric motor controller - cheapest one</t>
  </si>
  <si>
    <t>https://flipsky.net/collections/hobby-motors-for-esk8-ebike-efoil/products/flipsky-bldc-belt-motor-battle-hardened-6384-140kv-170kv-190kv-4000w-for-electric-skateboard</t>
  </si>
  <si>
    <t>Flipsky 6384 reliable and just powerfull enough bldc motor</t>
  </si>
  <si>
    <t>SUM:</t>
  </si>
  <si>
    <t>https://batterybuddy.pl/produkt/ampace-inr21700-jp40-2025-r/</t>
  </si>
  <si>
    <t>Batteries for range that will allow me to traver to school</t>
  </si>
  <si>
    <t>PLN:</t>
  </si>
  <si>
    <t>USD:</t>
  </si>
  <si>
    <t>*i dont cover in this document thigs such as connector, cables, screw etc, since these are more cheaper and i have already bought them</t>
  </si>
  <si>
    <t>What*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</si>
</sst>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/>
    <xf numFmtId="2" fontId="0" fillId="0" borderId="0" xfId="0" applyNumberFormat="1"/>
    <xf numFmtId="2" fontId="0" fillId="0" borderId="1" xfId="0" applyNumberFormat="1" applyBorder="1"/>
    <xf numFmtId="0" fontId="2" fillId="0" borderId="1" xfId="1" applyBorder="1"/>
    <xf numFmtId="0" fontId="1" fillId="2" borderId="2" xfId="0" applyFont="1" applyFill="1" applyBorder="1"/>
    <xf numFmtId="0" fontId="1" fillId="2" borderId="3" xfId="0" applyFont="1" applyFill="1" applyBorder="1"/>
    <xf numFmtId="2" fontId="1" fillId="2" borderId="4" xfId="0" applyNumberFormat="1" applyFont="1" applyFill="1" applyBorder="1"/>
    <xf numFmtId="2" fontId="1" fillId="2" borderId="5" xfId="0" applyNumberFormat="1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baba.com/product-detail/Double-Kingpin-Rear-Front-Trucks-15_1601595510200.html?spm=a2700.prosearch.normal_offer.d_image.6aff67afWrLuJL&amp;priceId=fe06ee03be34402ca111a61822ca5bf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0AF8-BFF1-4D9D-A829-6E6642069898}">
  <dimension ref="A1:K48"/>
  <sheetViews>
    <sheetView tabSelected="1" zoomScaleNormal="100" workbookViewId="0">
      <selection activeCell="A5" sqref="A5"/>
    </sheetView>
  </sheetViews>
  <sheetFormatPr defaultRowHeight="15" x14ac:dyDescent="0.25"/>
  <cols>
    <col min="1" max="1" width="83.85546875" customWidth="1"/>
    <col min="2" max="2" width="15.42578125" customWidth="1"/>
    <col min="3" max="3" width="15.7109375" customWidth="1"/>
    <col min="8" max="8" width="27" customWidth="1"/>
  </cols>
  <sheetData>
    <row r="1" spans="1:4" x14ac:dyDescent="0.25">
      <c r="A1" s="2" t="s">
        <v>38</v>
      </c>
      <c r="B1" s="2" t="s">
        <v>0</v>
      </c>
      <c r="C1" s="2" t="s">
        <v>1</v>
      </c>
      <c r="D1" s="2" t="s">
        <v>3</v>
      </c>
    </row>
    <row r="2" spans="1:4" x14ac:dyDescent="0.25">
      <c r="A2" s="1" t="s">
        <v>5</v>
      </c>
      <c r="B2" s="5">
        <v>49</v>
      </c>
      <c r="C2" s="5">
        <f>B2/$H$22</f>
        <v>13.725490196078432</v>
      </c>
      <c r="D2" s="1" t="s">
        <v>4</v>
      </c>
    </row>
    <row r="3" spans="1:4" x14ac:dyDescent="0.25">
      <c r="A3" s="1" t="s">
        <v>7</v>
      </c>
      <c r="B3" s="5">
        <f>23.59*2</f>
        <v>47.18</v>
      </c>
      <c r="C3" s="5">
        <f>B3/$H$22</f>
        <v>13.215686274509805</v>
      </c>
      <c r="D3" s="1" t="s">
        <v>6</v>
      </c>
    </row>
    <row r="4" spans="1:4" x14ac:dyDescent="0.25">
      <c r="A4" s="1" t="s">
        <v>8</v>
      </c>
      <c r="B4" s="5">
        <v>0</v>
      </c>
      <c r="C4" s="5">
        <f>B4/$H$22</f>
        <v>0</v>
      </c>
      <c r="D4" s="3" t="s">
        <v>9</v>
      </c>
    </row>
    <row r="5" spans="1:4" x14ac:dyDescent="0.25">
      <c r="A5" s="1" t="s">
        <v>10</v>
      </c>
      <c r="B5" s="5">
        <v>200</v>
      </c>
      <c r="C5" s="5">
        <f>B5/$H$22</f>
        <v>56.022408963585434</v>
      </c>
      <c r="D5" s="1" t="s">
        <v>11</v>
      </c>
    </row>
    <row r="6" spans="1:4" x14ac:dyDescent="0.25">
      <c r="A6" s="1" t="s">
        <v>27</v>
      </c>
      <c r="B6" s="5">
        <f>C6*H22</f>
        <v>274.89</v>
      </c>
      <c r="C6" s="5">
        <v>77</v>
      </c>
      <c r="D6" s="6" t="s">
        <v>12</v>
      </c>
    </row>
    <row r="7" spans="1:4" x14ac:dyDescent="0.25">
      <c r="A7" s="1" t="s">
        <v>13</v>
      </c>
      <c r="B7" s="5">
        <v>140</v>
      </c>
      <c r="C7" s="5">
        <f t="shared" ref="C7:C13" si="0">B7/$H$22</f>
        <v>39.215686274509807</v>
      </c>
      <c r="D7" s="1" t="s">
        <v>20</v>
      </c>
    </row>
    <row r="8" spans="1:4" x14ac:dyDescent="0.25">
      <c r="A8" s="1" t="s">
        <v>15</v>
      </c>
      <c r="B8" s="5">
        <v>14.29</v>
      </c>
      <c r="C8" s="5">
        <f t="shared" si="0"/>
        <v>4.0028011204481793</v>
      </c>
      <c r="D8" s="1" t="s">
        <v>14</v>
      </c>
    </row>
    <row r="9" spans="1:4" x14ac:dyDescent="0.25">
      <c r="A9" s="1" t="s">
        <v>17</v>
      </c>
      <c r="B9" s="5">
        <v>54.59</v>
      </c>
      <c r="C9" s="5">
        <f t="shared" si="0"/>
        <v>15.291316526610647</v>
      </c>
      <c r="D9" s="1" t="s">
        <v>16</v>
      </c>
    </row>
    <row r="10" spans="1:4" x14ac:dyDescent="0.25">
      <c r="A10" s="1" t="s">
        <v>19</v>
      </c>
      <c r="B10" s="5">
        <v>12.19</v>
      </c>
      <c r="C10" s="5">
        <f t="shared" si="0"/>
        <v>3.4145658263305321</v>
      </c>
      <c r="D10" s="1" t="s">
        <v>18</v>
      </c>
    </row>
    <row r="11" spans="1:4" x14ac:dyDescent="0.25">
      <c r="A11" s="1" t="s">
        <v>22</v>
      </c>
      <c r="B11" s="5">
        <v>45.89</v>
      </c>
      <c r="C11" s="5">
        <f t="shared" si="0"/>
        <v>12.854341736694678</v>
      </c>
      <c r="D11" s="1" t="s">
        <v>21</v>
      </c>
    </row>
    <row r="12" spans="1:4" x14ac:dyDescent="0.25">
      <c r="A12" s="1" t="s">
        <v>24</v>
      </c>
      <c r="B12" s="5">
        <v>156.59</v>
      </c>
      <c r="C12" s="5">
        <f t="shared" si="0"/>
        <v>43.86274509803922</v>
      </c>
      <c r="D12" s="1" t="s">
        <v>23</v>
      </c>
    </row>
    <row r="13" spans="1:4" x14ac:dyDescent="0.25">
      <c r="A13" s="1" t="s">
        <v>26</v>
      </c>
      <c r="B13" s="5">
        <v>362.79</v>
      </c>
      <c r="C13" s="5">
        <f t="shared" si="0"/>
        <v>101.6218487394958</v>
      </c>
      <c r="D13" s="1" t="s">
        <v>25</v>
      </c>
    </row>
    <row r="14" spans="1:4" x14ac:dyDescent="0.25">
      <c r="A14" s="1" t="s">
        <v>29</v>
      </c>
      <c r="B14" s="5">
        <f>C14*H22</f>
        <v>264.18</v>
      </c>
      <c r="C14" s="5">
        <v>74</v>
      </c>
      <c r="D14" s="1" t="s">
        <v>28</v>
      </c>
    </row>
    <row r="15" spans="1:4" x14ac:dyDescent="0.25">
      <c r="A15" s="1" t="s">
        <v>31</v>
      </c>
      <c r="B15" s="5">
        <f>H22*C15</f>
        <v>577.98299999999995</v>
      </c>
      <c r="C15" s="5">
        <v>161.9</v>
      </c>
      <c r="D15" s="1" t="s">
        <v>30</v>
      </c>
    </row>
    <row r="16" spans="1:4" x14ac:dyDescent="0.25">
      <c r="A16" s="1" t="s">
        <v>34</v>
      </c>
      <c r="B16" s="5">
        <f>24*13.9</f>
        <v>333.6</v>
      </c>
      <c r="C16" s="5">
        <f>B16/$H$22</f>
        <v>93.445378151260513</v>
      </c>
      <c r="D16" s="1" t="s">
        <v>33</v>
      </c>
    </row>
    <row r="17" spans="1:11" x14ac:dyDescent="0.25">
      <c r="A17" s="1"/>
      <c r="B17" s="5"/>
      <c r="C17" s="5"/>
      <c r="D17" s="1"/>
    </row>
    <row r="18" spans="1:11" x14ac:dyDescent="0.25">
      <c r="A18" s="1"/>
      <c r="B18" s="5"/>
      <c r="C18" s="5"/>
      <c r="D18" s="1"/>
    </row>
    <row r="19" spans="1:11" x14ac:dyDescent="0.25">
      <c r="A19" s="1"/>
      <c r="B19" s="5"/>
      <c r="C19" s="5"/>
      <c r="D19" s="1"/>
    </row>
    <row r="20" spans="1:11" x14ac:dyDescent="0.25">
      <c r="A20" s="1"/>
      <c r="B20" s="5"/>
      <c r="C20" s="5"/>
      <c r="D20" s="1"/>
    </row>
    <row r="21" spans="1:11" x14ac:dyDescent="0.25">
      <c r="A21" s="1"/>
      <c r="B21" s="5"/>
      <c r="C21" s="5"/>
      <c r="D21" s="1"/>
      <c r="H21" t="s">
        <v>2</v>
      </c>
      <c r="K21" t="s">
        <v>37</v>
      </c>
    </row>
    <row r="22" spans="1:11" x14ac:dyDescent="0.25">
      <c r="A22" s="1"/>
      <c r="B22" s="5"/>
      <c r="C22" s="5"/>
      <c r="D22" s="1"/>
      <c r="H22" s="4">
        <v>3.57</v>
      </c>
    </row>
    <row r="23" spans="1:11" x14ac:dyDescent="0.25">
      <c r="A23" s="1"/>
      <c r="B23" s="5"/>
      <c r="C23" s="5"/>
      <c r="D23" s="1"/>
    </row>
    <row r="24" spans="1:11" x14ac:dyDescent="0.25">
      <c r="A24" s="1"/>
      <c r="B24" s="5"/>
      <c r="C24" s="5"/>
      <c r="D24" s="1"/>
    </row>
    <row r="25" spans="1:11" ht="15.75" thickBot="1" x14ac:dyDescent="0.3">
      <c r="A25" s="1"/>
      <c r="B25" s="5"/>
      <c r="C25" s="5"/>
      <c r="D25" s="1"/>
    </row>
    <row r="26" spans="1:11" ht="15.75" thickBot="1" x14ac:dyDescent="0.3">
      <c r="A26" s="1"/>
      <c r="B26" s="5"/>
      <c r="C26" s="5"/>
      <c r="D26" s="1"/>
      <c r="H26" s="11" t="s">
        <v>32</v>
      </c>
      <c r="I26" s="12"/>
    </row>
    <row r="27" spans="1:11" x14ac:dyDescent="0.25">
      <c r="A27" s="1"/>
      <c r="B27" s="5"/>
      <c r="C27" s="5"/>
      <c r="D27" s="1"/>
      <c r="H27" s="7" t="s">
        <v>36</v>
      </c>
      <c r="I27" s="8" t="s">
        <v>35</v>
      </c>
    </row>
    <row r="28" spans="1:11" ht="15.75" thickBot="1" x14ac:dyDescent="0.3">
      <c r="A28" s="1"/>
      <c r="B28" s="5"/>
      <c r="C28" s="5"/>
      <c r="D28" s="1"/>
      <c r="H28" s="9">
        <f>SUM(C2:C48)</f>
        <v>709.57226890756306</v>
      </c>
      <c r="I28" s="10">
        <f>SUM(B2:B48)</f>
        <v>2533.1730000000002</v>
      </c>
    </row>
    <row r="29" spans="1:11" x14ac:dyDescent="0.25">
      <c r="A29" s="1"/>
      <c r="B29" s="5"/>
      <c r="C29" s="5"/>
      <c r="D29" s="1"/>
    </row>
    <row r="30" spans="1:11" x14ac:dyDescent="0.25">
      <c r="A30" s="1"/>
      <c r="B30" s="5"/>
      <c r="C30" s="5"/>
      <c r="D30" s="1"/>
    </row>
    <row r="31" spans="1:11" x14ac:dyDescent="0.25">
      <c r="A31" s="1"/>
      <c r="B31" s="5"/>
      <c r="C31" s="5"/>
      <c r="D31" s="1"/>
    </row>
    <row r="32" spans="1:11" x14ac:dyDescent="0.25">
      <c r="A32" s="1"/>
      <c r="B32" s="5"/>
      <c r="C32" s="5"/>
      <c r="D32" s="1"/>
    </row>
    <row r="33" spans="1:4" x14ac:dyDescent="0.25">
      <c r="A33" s="1"/>
      <c r="B33" s="5"/>
      <c r="C33" s="5"/>
      <c r="D33" s="1"/>
    </row>
    <row r="34" spans="1:4" x14ac:dyDescent="0.25">
      <c r="A34" s="1"/>
      <c r="B34" s="5"/>
      <c r="C34" s="5"/>
      <c r="D34" s="1"/>
    </row>
    <row r="35" spans="1:4" x14ac:dyDescent="0.25">
      <c r="A35" s="1"/>
      <c r="B35" s="5"/>
      <c r="C35" s="5"/>
      <c r="D35" s="1"/>
    </row>
    <row r="36" spans="1:4" x14ac:dyDescent="0.25">
      <c r="A36" s="1"/>
      <c r="B36" s="5"/>
      <c r="C36" s="5"/>
      <c r="D36" s="1"/>
    </row>
    <row r="37" spans="1:4" x14ac:dyDescent="0.25">
      <c r="A37" s="1"/>
      <c r="B37" s="5"/>
      <c r="C37" s="5"/>
      <c r="D37" s="1"/>
    </row>
    <row r="38" spans="1:4" x14ac:dyDescent="0.25">
      <c r="A38" s="1"/>
      <c r="B38" s="5"/>
      <c r="C38" s="5"/>
      <c r="D38" s="1"/>
    </row>
    <row r="39" spans="1:4" x14ac:dyDescent="0.25">
      <c r="A39" s="1"/>
      <c r="B39" s="5"/>
      <c r="C39" s="5"/>
      <c r="D39" s="1"/>
    </row>
    <row r="40" spans="1:4" x14ac:dyDescent="0.25">
      <c r="A40" s="1"/>
      <c r="B40" s="5"/>
      <c r="C40" s="5"/>
      <c r="D40" s="1"/>
    </row>
    <row r="41" spans="1:4" x14ac:dyDescent="0.25">
      <c r="A41" s="1"/>
      <c r="B41" s="5"/>
      <c r="C41" s="5"/>
      <c r="D41" s="1"/>
    </row>
    <row r="42" spans="1:4" x14ac:dyDescent="0.25">
      <c r="A42" s="1"/>
      <c r="B42" s="5"/>
      <c r="C42" s="5"/>
      <c r="D42" s="1"/>
    </row>
    <row r="43" spans="1:4" x14ac:dyDescent="0.25">
      <c r="A43" s="1"/>
      <c r="B43" s="5"/>
      <c r="C43" s="5"/>
      <c r="D43" s="1"/>
    </row>
    <row r="44" spans="1:4" x14ac:dyDescent="0.25">
      <c r="A44" s="1"/>
      <c r="B44" s="5"/>
      <c r="C44" s="5"/>
      <c r="D44" s="1"/>
    </row>
    <row r="45" spans="1:4" x14ac:dyDescent="0.25">
      <c r="A45" s="1"/>
      <c r="B45" s="5"/>
      <c r="C45" s="5"/>
      <c r="D45" s="1"/>
    </row>
    <row r="46" spans="1:4" x14ac:dyDescent="0.25">
      <c r="A46" s="1"/>
      <c r="B46" s="5"/>
      <c r="C46" s="5"/>
      <c r="D46" s="1"/>
    </row>
    <row r="47" spans="1:4" x14ac:dyDescent="0.25">
      <c r="A47" s="1"/>
      <c r="B47" s="5"/>
      <c r="C47" s="5"/>
      <c r="D47" s="1"/>
    </row>
    <row r="48" spans="1:4" x14ac:dyDescent="0.25">
      <c r="A48" s="1"/>
      <c r="B48" s="5"/>
      <c r="C48" s="5"/>
      <c r="D48" s="1"/>
    </row>
  </sheetData>
  <mergeCells count="1">
    <mergeCell ref="H26:I26"/>
  </mergeCells>
  <hyperlinks>
    <hyperlink ref="D6" r:id="rId1" xr:uid="{1C926C99-E440-43A8-8218-E0D4B109F5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Szymon Filipkowski</cp:lastModifiedBy>
  <dcterms:created xsi:type="dcterms:W3CDTF">2026-02-03T17:22:04Z</dcterms:created>
  <dcterms:modified xsi:type="dcterms:W3CDTF">2026-02-03T17:54:31Z</dcterms:modified>
</cp:coreProperties>
</file>